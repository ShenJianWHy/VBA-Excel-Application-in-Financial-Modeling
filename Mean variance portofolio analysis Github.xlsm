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 - EDHEC\Curriculums\EXCEL &amp; VBA programming\"/>
    </mc:Choice>
  </mc:AlternateContent>
  <xr:revisionPtr revIDLastSave="0" documentId="13_ncr:1_{4CFF3357-3A2E-4A01-B58B-6296F12AD8EB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PortAnalysis" sheetId="15" r:id="rId1"/>
  </sheets>
  <functionGroups builtInGroupCount="19"/>
  <definedNames>
    <definedName name="AmortizationType">#REF!</definedName>
    <definedName name="interestRate" localSheetId="0">#REF!</definedName>
    <definedName name="interestRate">#REF!</definedName>
    <definedName name="numPerAfter">#REF!</definedName>
    <definedName name="PaymentFrequency">#REF!</definedName>
    <definedName name="PaymentType">#REF!</definedName>
    <definedName name="periods" localSheetId="0">#REF!</definedName>
    <definedName name="periods">#REF!</definedName>
    <definedName name="PMT">#REF!</definedName>
    <definedName name="PMTFrequency">#REF!</definedName>
    <definedName name="principal" localSheetId="0">#REF!</definedName>
    <definedName name="principal">#REF!</definedName>
    <definedName name="riskfreeRate" localSheetId="0">PortAnalysis!#REF!</definedName>
    <definedName name="riskfreeRat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6" i="15" l="1"/>
  <c r="O68" i="15"/>
  <c r="M68" i="15"/>
  <c r="O6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ShenJian</author>
  </authors>
  <commentList>
    <comment ref="T9" authorId="0" shapeId="0" xr:uid="{134CC8D5-F371-48E2-B677-157A2E0B5945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using traditional formula portfolio variance = w' Σ w</t>
        </r>
      </text>
    </comment>
    <comment ref="P66" authorId="0" shapeId="0" xr:uid="{18BE42DC-3B5D-4FF8-816D-2F97BDE60960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the tangent portfolio has highest sharpe ratio, which can be used to check the calculation result. </t>
        </r>
      </text>
    </comment>
  </commentList>
</comments>
</file>

<file path=xl/sharedStrings.xml><?xml version="1.0" encoding="utf-8"?>
<sst xmlns="http://schemas.openxmlformats.org/spreadsheetml/2006/main" count="112" uniqueCount="47">
  <si>
    <t>CHECK</t>
  </si>
  <si>
    <t>Proportion</t>
  </si>
  <si>
    <r>
      <rPr>
        <b/>
        <sz val="24"/>
        <color theme="1"/>
        <rFont val="Calibri"/>
        <family val="2"/>
        <scheme val="minor"/>
      </rPr>
      <t>P</t>
    </r>
    <r>
      <rPr>
        <b/>
        <sz val="16"/>
        <color theme="1"/>
        <rFont val="Calibri"/>
        <family val="2"/>
        <scheme val="minor"/>
      </rPr>
      <t>ORTFOLIO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8"/>
        <color theme="1"/>
        <rFont val="Calibri"/>
        <family val="2"/>
        <scheme val="minor"/>
      </rPr>
      <t xml:space="preserve"> </t>
    </r>
    <r>
      <rPr>
        <b/>
        <sz val="24"/>
        <color theme="1"/>
        <rFont val="Calibri"/>
        <family val="2"/>
        <scheme val="minor"/>
      </rPr>
      <t>O</t>
    </r>
    <r>
      <rPr>
        <b/>
        <sz val="16"/>
        <color theme="1"/>
        <rFont val="Calibri"/>
        <family val="2"/>
        <scheme val="minor"/>
      </rPr>
      <t>PTIMIZATION:</t>
    </r>
    <r>
      <rPr>
        <b/>
        <sz val="14"/>
        <color theme="1"/>
        <rFont val="Calibri"/>
        <family val="2"/>
        <scheme val="minor"/>
      </rPr>
      <t xml:space="preserve"> </t>
    </r>
  </si>
  <si>
    <r>
      <rPr>
        <b/>
        <sz val="24"/>
        <color theme="1"/>
        <rFont val="Calibri"/>
        <family val="2"/>
        <scheme val="minor"/>
      </rPr>
      <t>O</t>
    </r>
    <r>
      <rPr>
        <b/>
        <sz val="16"/>
        <color theme="1"/>
        <rFont val="Calibri"/>
        <family val="2"/>
        <scheme val="minor"/>
      </rPr>
      <t>UTPUT</t>
    </r>
    <r>
      <rPr>
        <b/>
        <sz val="18"/>
        <color theme="1"/>
        <rFont val="Calibri"/>
        <family val="2"/>
        <scheme val="minor"/>
      </rPr>
      <t xml:space="preserve"> </t>
    </r>
    <r>
      <rPr>
        <b/>
        <sz val="24"/>
        <color theme="1"/>
        <rFont val="Calibri"/>
        <family val="2"/>
        <scheme val="minor"/>
      </rPr>
      <t>T</t>
    </r>
    <r>
      <rPr>
        <b/>
        <sz val="16"/>
        <color theme="1"/>
        <rFont val="Calibri"/>
        <family val="2"/>
        <scheme val="minor"/>
      </rPr>
      <t>ABLE</t>
    </r>
  </si>
  <si>
    <t>Two risky assets and a risk-free asset</t>
  </si>
  <si>
    <t>asset 1</t>
  </si>
  <si>
    <t>MSFT</t>
  </si>
  <si>
    <t>asset 2</t>
  </si>
  <si>
    <t>NKE</t>
  </si>
  <si>
    <t>risk-free asset</t>
  </si>
  <si>
    <t>Asset Data</t>
  </si>
  <si>
    <t>Exp Ret</t>
  </si>
  <si>
    <t>Std Dev</t>
  </si>
  <si>
    <t>Risk-free Rate</t>
  </si>
  <si>
    <t>date</t>
  </si>
  <si>
    <t>Price</t>
  </si>
  <si>
    <t>Return</t>
  </si>
  <si>
    <t>Corr Matrix</t>
  </si>
  <si>
    <t>Minimum Variance Portfolio</t>
  </si>
  <si>
    <t>weights</t>
  </si>
  <si>
    <t>Port Ret</t>
  </si>
  <si>
    <t>std dev</t>
  </si>
  <si>
    <t>Optimal Risky Portfolio(the tangent point)</t>
  </si>
  <si>
    <t>VCV Matrix(Σ)</t>
  </si>
  <si>
    <t>Portfolio Stat</t>
  </si>
  <si>
    <t>Risky Asset</t>
  </si>
  <si>
    <t>Capital</t>
  </si>
  <si>
    <t>Frontier</t>
  </si>
  <si>
    <t>Allocation</t>
  </si>
  <si>
    <t>(x-axis)</t>
  </si>
  <si>
    <t>Curve or</t>
  </si>
  <si>
    <t>Line</t>
  </si>
  <si>
    <t>in Risky</t>
  </si>
  <si>
    <t>Portfolio</t>
  </si>
  <si>
    <t>Std.</t>
  </si>
  <si>
    <t>Porfolio</t>
  </si>
  <si>
    <t>Expected</t>
  </si>
  <si>
    <t>Sharp</t>
  </si>
  <si>
    <t>Asset 1</t>
  </si>
  <si>
    <t>Variance</t>
  </si>
  <si>
    <t>Dev.</t>
  </si>
  <si>
    <t>Mean</t>
  </si>
  <si>
    <t>Ret/Annual</t>
  </si>
  <si>
    <t>Ratio</t>
  </si>
  <si>
    <t>Frontier Curve</t>
  </si>
  <si>
    <t>Tangent point</t>
  </si>
  <si>
    <t>Cap Alloc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</si>
</sst>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%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5" fillId="0" borderId="0" xfId="0" applyFont="1"/>
    <xf numFmtId="0" fontId="7" fillId="0" borderId="0" xfId="0" applyFont="1"/>
    <xf numFmtId="14" fontId="0" fillId="0" borderId="0" xfId="0" applyNumberFormat="1"/>
    <xf numFmtId="0" fontId="6" fillId="0" borderId="0" xfId="0" applyFont="1"/>
    <xf numFmtId="0" fontId="0" fillId="0" borderId="0" xfId="0" applyAlignment="1">
      <alignment horizontal="center"/>
    </xf>
    <xf numFmtId="0" fontId="12" fillId="0" borderId="0" xfId="0" applyFont="1"/>
    <xf numFmtId="0" fontId="0" fillId="0" borderId="1" xfId="0" applyBorder="1"/>
    <xf numFmtId="0" fontId="0" fillId="0" borderId="3" xfId="0" applyBorder="1"/>
    <xf numFmtId="0" fontId="13" fillId="0" borderId="1" xfId="0" applyFont="1" applyBorder="1"/>
    <xf numFmtId="0" fontId="1" fillId="0" borderId="3" xfId="0" applyFont="1" applyBorder="1"/>
    <xf numFmtId="0" fontId="1" fillId="0" borderId="0" xfId="0" applyFont="1"/>
    <xf numFmtId="0" fontId="0" fillId="2" borderId="0" xfId="0" applyFill="1"/>
    <xf numFmtId="164" fontId="0" fillId="2" borderId="0" xfId="3" applyNumberFormat="1" applyFont="1" applyFill="1"/>
    <xf numFmtId="0" fontId="14" fillId="0" borderId="3" xfId="0" applyFont="1" applyBorder="1"/>
    <xf numFmtId="165" fontId="3" fillId="0" borderId="0" xfId="3" applyNumberFormat="1"/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3" xfId="0" applyFont="1" applyBorder="1"/>
    <xf numFmtId="0" fontId="7" fillId="0" borderId="0" xfId="0" applyFont="1" applyAlignment="1">
      <alignment horizontal="center"/>
    </xf>
    <xf numFmtId="0" fontId="16" fillId="3" borderId="0" xfId="0" applyFont="1" applyFill="1"/>
    <xf numFmtId="9" fontId="3" fillId="0" borderId="0" xfId="3"/>
    <xf numFmtId="10" fontId="0" fillId="2" borderId="0" xfId="3" applyNumberFormat="1" applyFont="1" applyFill="1"/>
    <xf numFmtId="10" fontId="0" fillId="2" borderId="0" xfId="0" applyNumberFormat="1" applyFill="1"/>
    <xf numFmtId="0" fontId="15" fillId="0" borderId="4" xfId="0" applyFont="1" applyBorder="1"/>
    <xf numFmtId="9" fontId="3" fillId="0" borderId="2" xfId="3" applyBorder="1"/>
    <xf numFmtId="10" fontId="0" fillId="2" borderId="2" xfId="3" applyNumberFormat="1" applyFont="1" applyFill="1" applyBorder="1"/>
    <xf numFmtId="10" fontId="0" fillId="2" borderId="2" xfId="0" applyNumberFormat="1" applyFill="1" applyBorder="1"/>
    <xf numFmtId="0" fontId="0" fillId="2" borderId="2" xfId="0" applyFill="1" applyBorder="1"/>
    <xf numFmtId="0" fontId="14" fillId="0" borderId="5" xfId="0" applyFont="1" applyBorder="1"/>
    <xf numFmtId="10" fontId="0" fillId="2" borderId="6" xfId="3" applyNumberFormat="1" applyFont="1" applyFill="1" applyBorder="1"/>
    <xf numFmtId="0" fontId="0" fillId="3" borderId="6" xfId="0" applyFill="1" applyBorder="1"/>
    <xf numFmtId="9" fontId="0" fillId="2" borderId="6" xfId="3" applyFont="1" applyFill="1" applyBorder="1"/>
    <xf numFmtId="0" fontId="0" fillId="2" borderId="6" xfId="0" applyFill="1" applyBorder="1"/>
    <xf numFmtId="0" fontId="7" fillId="2" borderId="0" xfId="0" applyFont="1" applyFill="1"/>
    <xf numFmtId="0" fontId="19" fillId="2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6" xfId="0" applyFont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Percent" xfId="3" builtinId="5"/>
    <cellStyle name="Pourcentage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GB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3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Frontier Curve and Capital Allocation Line</a:t>
            </a:r>
          </a:p>
        </c:rich>
      </c:tx>
      <c:layout>
        <c:manualLayout>
          <c:xMode val="edge"/>
          <c:yMode val="edge"/>
          <c:x val="2.2573455243548183E-4"/>
          <c:y val="3.842464986672395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GB"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Curve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PortAnalysis!$M$23:$M$65</c:f>
              <c:numCache>
                <c:formatCode>0.00%</c:formatCode>
                <c:ptCount val="43"/>
              </c:numCache>
            </c:numRef>
          </c:xVal>
          <c:yVal>
            <c:numRef>
              <c:f>PortAnalysis!$N$23:$N$65</c:f>
              <c:numCache>
                <c:formatCode>0.00%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4-44CB-8C14-8ABCAFA0E415}"/>
            </c:ext>
          </c:extLst>
        </c:ser>
        <c:ser>
          <c:idx val="1"/>
          <c:order val="1"/>
          <c:tx>
            <c:v>Allocation Line</c:v>
          </c:tx>
          <c:spPr>
            <a:ln w="25400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circle"/>
              <c:size val="7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AF4-44CB-8C14-8ABCAFA0E415}"/>
              </c:ext>
            </c:extLst>
          </c:dPt>
          <c:xVal>
            <c:numRef>
              <c:f>PortAnalysis!$M$67:$M$68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PortAnalysis!$O$67:$O$68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4-44CB-8C14-8ABCAFA0E415}"/>
            </c:ext>
          </c:extLst>
        </c:ser>
        <c:ser>
          <c:idx val="2"/>
          <c:order val="2"/>
          <c:tx>
            <c:v>Risky asset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b="0"/>
                      <a:t>risky</a:t>
                    </a:r>
                    <a:r>
                      <a:rPr lang="en-US" b="1"/>
                      <a:t> </a:t>
                    </a:r>
                    <a:r>
                      <a:rPr lang="en-US" b="0"/>
                      <a:t>aseet</a:t>
                    </a:r>
                    <a:r>
                      <a:rPr lang="en-US" b="1"/>
                      <a:t>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PortAnalysis!$M$48</c:f>
              <c:numCache>
                <c:formatCode>0.00%</c:formatCode>
                <c:ptCount val="1"/>
              </c:numCache>
            </c:numRef>
          </c:xVal>
          <c:yVal>
            <c:numRef>
              <c:f>PortAnalysis!$N$48</c:f>
              <c:numCache>
                <c:formatCode>0.00%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F4-44CB-8C14-8ABCAFA0E415}"/>
            </c:ext>
          </c:extLst>
        </c:ser>
        <c:ser>
          <c:idx val="3"/>
          <c:order val="3"/>
          <c:tx>
            <c:v>risky asset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risky asset 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PortAnalysis!$M$38</c:f>
              <c:numCache>
                <c:formatCode>0.00%</c:formatCode>
                <c:ptCount val="1"/>
              </c:numCache>
            </c:numRef>
          </c:xVal>
          <c:yVal>
            <c:numRef>
              <c:f>PortAnalysis!$N$38</c:f>
              <c:numCache>
                <c:formatCode>0.00%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F4-44CB-8C14-8ABCAFA0E415}"/>
            </c:ext>
          </c:extLst>
        </c:ser>
        <c:ser>
          <c:idx val="4"/>
          <c:order val="4"/>
          <c:tx>
            <c:v>risk free rate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58246A-935F-463A-BEB4-C17F82423919}" type="SERIESNAME">
                      <a:rPr lang="en-US"/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8AF4-44CB-8C14-8ABCAFA0E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PortAnalysis!$O$67</c:f>
              <c:numCache>
                <c:formatCode>0.00%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F4-44CB-8C14-8ABCAFA0E415}"/>
            </c:ext>
          </c:extLst>
        </c:ser>
        <c:ser>
          <c:idx val="5"/>
          <c:order val="5"/>
          <c:tx>
            <c:v>tangent point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DA4AD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PortAnalysis!$M$66</c:f>
              <c:numCache>
                <c:formatCode>0.00%</c:formatCode>
                <c:ptCount val="1"/>
              </c:numCache>
            </c:numRef>
          </c:xVal>
          <c:yVal>
            <c:numRef>
              <c:f>PortAnalysis!$O$66</c:f>
              <c:numCache>
                <c:formatCode>0.00%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F4-44CB-8C14-8ABCAFA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573448"/>
        <c:axId val="1085579680"/>
      </c:scatterChart>
      <c:valAx>
        <c:axId val="1085573448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79680"/>
        <c:crosses val="autoZero"/>
        <c:crossBetween val="midCat"/>
      </c:valAx>
      <c:valAx>
        <c:axId val="108557968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Annual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GB" sz="1200" b="1">
                    <a:solidFill>
                      <a:sysClr val="windowText" lastClr="000000"/>
                    </a:solidFill>
                  </a:rPr>
                  <a:t>Expected Return</a:t>
                </a:r>
                <a:r>
                  <a:rPr lang="en-GB" sz="1200" b="1" baseline="0">
                    <a:solidFill>
                      <a:sysClr val="windowText" lastClr="000000"/>
                    </a:solidFill>
                  </a:rPr>
                  <a:t> </a:t>
                </a:r>
                <a:endParaRPr lang="en-GB" sz="12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234315948601664E-2"/>
              <c:y val="0.141546989166036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7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R$1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209550</xdr:colOff>
      <xdr:row>7</xdr:row>
      <xdr:rowOff>171451</xdr:rowOff>
    </xdr:from>
    <xdr:to>
      <xdr:col>23</xdr:col>
      <xdr:colOff>41457</xdr:colOff>
      <xdr:row>14</xdr:row>
      <xdr:rowOff>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804962" y="2479863"/>
          <a:ext cx="1647260" cy="1162050"/>
          <a:chOff x="13687425" y="2114550"/>
          <a:chExt cx="1932472" cy="135221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687425" y="2878257"/>
            <a:ext cx="1932472" cy="588506"/>
          </a:xfrm>
          <a:prstGeom prst="rect">
            <a:avLst/>
          </a:prstGeom>
        </xdr:spPr>
      </xdr:pic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13725525" y="2114550"/>
            <a:ext cx="1837901" cy="561975"/>
            <a:chOff x="10906125" y="1402965"/>
            <a:chExt cx="1790276" cy="540135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1858624" y="1402965"/>
              <a:ext cx="837777" cy="540135"/>
            </a:xfrm>
            <a:prstGeom prst="rect">
              <a:avLst/>
            </a:prstGeom>
          </xdr:spPr>
        </xdr:pic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906125" y="1524000"/>
              <a:ext cx="927339" cy="381000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19</xdr:row>
          <xdr:rowOff>104775</xdr:rowOff>
        </xdr:from>
        <xdr:to>
          <xdr:col>19</xdr:col>
          <xdr:colOff>0</xdr:colOff>
          <xdr:row>23</xdr:row>
          <xdr:rowOff>19050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10775016" y="4699187"/>
              <a:ext cx="1215278" cy="676275"/>
              <a:chOff x="9963175" y="2905140"/>
              <a:chExt cx="1343025" cy="676275"/>
            </a:xfrm>
          </xdr:grpSpPr>
          <xdr:sp macro="" textlink="">
            <xdr:nvSpPr>
              <xdr:cNvPr id="8193" name="Group Box 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100-000001200000}"/>
                  </a:ext>
                </a:extLst>
              </xdr:cNvPr>
              <xdr:cNvSpPr/>
            </xdr:nvSpPr>
            <xdr:spPr bwMode="auto">
              <a:xfrm>
                <a:off x="9963175" y="2905140"/>
                <a:ext cx="1343025" cy="676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on the Graph</a:t>
                </a:r>
              </a:p>
            </xdr:txBody>
          </xdr:sp>
          <xdr:sp macro="" textlink="">
            <xdr:nvSpPr>
              <xdr:cNvPr id="8194" name="Option Button 2" descr="Frontier Curve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100-000002200000}"/>
                  </a:ext>
                </a:extLst>
              </xdr:cNvPr>
              <xdr:cNvSpPr/>
            </xdr:nvSpPr>
            <xdr:spPr bwMode="auto">
              <a:xfrm>
                <a:off x="10115550" y="3067050"/>
                <a:ext cx="10287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CCFFCC" mc:Ignorable="a14" a14:legacySpreadsheetColorIndex="4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6600" mc:Ignorable="a14" a14:legacySpreadsheetColorIndex="53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   Frontier Curve</a:t>
                </a:r>
              </a:p>
            </xdr:txBody>
          </xdr:sp>
          <xdr:sp macro="" textlink="">
            <xdr:nvSpPr>
              <xdr:cNvPr id="8195" name="Option Button 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100-000003200000}"/>
                  </a:ext>
                </a:extLst>
              </xdr:cNvPr>
              <xdr:cNvSpPr/>
            </xdr:nvSpPr>
            <xdr:spPr bwMode="auto">
              <a:xfrm>
                <a:off x="10115550" y="3362325"/>
                <a:ext cx="10287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CCFFFF" mc:Ignorable="a14" a14:legacySpreadsheetColorIndex="41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6600" mc:Ignorable="a14" a14:legacySpreadsheetColorIndex="53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+ Allocation Line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19</xdr:col>
      <xdr:colOff>152401</xdr:colOff>
      <xdr:row>15</xdr:row>
      <xdr:rowOff>19055</xdr:rowOff>
    </xdr:from>
    <xdr:to>
      <xdr:col>25</xdr:col>
      <xdr:colOff>428625</xdr:colOff>
      <xdr:row>32</xdr:row>
      <xdr:rowOff>76200</xdr:rowOff>
    </xdr:to>
    <xdr:graphicFrame macro="">
      <xdr:nvGraphicFramePr>
        <xdr:cNvPr id="11" name="Chart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15</xdr:row>
          <xdr:rowOff>114300</xdr:rowOff>
        </xdr:from>
        <xdr:to>
          <xdr:col>19</xdr:col>
          <xdr:colOff>28575</xdr:colOff>
          <xdr:row>18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Portfolio</a:t>
              </a:r>
            </a:p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24</xdr:row>
          <xdr:rowOff>28575</xdr:rowOff>
        </xdr:from>
        <xdr:to>
          <xdr:col>19</xdr:col>
          <xdr:colOff>95250</xdr:colOff>
          <xdr:row>27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78441</xdr:colOff>
      <xdr:row>2</xdr:row>
      <xdr:rowOff>78441</xdr:rowOff>
    </xdr:from>
    <xdr:to>
      <xdr:col>1</xdr:col>
      <xdr:colOff>324970</xdr:colOff>
      <xdr:row>2</xdr:row>
      <xdr:rowOff>840441</xdr:rowOff>
    </xdr:to>
    <xdr:sp macro="" textlink="">
      <xdr:nvSpPr>
        <xdr:cNvPr id="14" name="Speech Bubble: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8441" y="716616"/>
          <a:ext cx="970429" cy="762000"/>
        </a:xfrm>
        <a:prstGeom prst="wedgeRectCallou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Please</a:t>
          </a:r>
          <a:r>
            <a:rPr lang="en-GB" sz="1100" baseline="0"/>
            <a:t> copy your date in this colum</a:t>
          </a:r>
          <a:endParaRPr lang="en-GB" sz="1100"/>
        </a:p>
      </xdr:txBody>
    </xdr:sp>
    <xdr:clientData/>
  </xdr:twoCellAnchor>
  <xdr:twoCellAnchor>
    <xdr:from>
      <xdr:col>1</xdr:col>
      <xdr:colOff>443753</xdr:colOff>
      <xdr:row>2</xdr:row>
      <xdr:rowOff>85165</xdr:rowOff>
    </xdr:from>
    <xdr:to>
      <xdr:col>2</xdr:col>
      <xdr:colOff>466164</xdr:colOff>
      <xdr:row>2</xdr:row>
      <xdr:rowOff>847165</xdr:rowOff>
    </xdr:to>
    <xdr:sp macro="" textlink="">
      <xdr:nvSpPr>
        <xdr:cNvPr id="15" name="Speech Bubble: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167653" y="723340"/>
          <a:ext cx="974911" cy="762000"/>
        </a:xfrm>
        <a:prstGeom prst="wedgeRectCallou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>
              <a:solidFill>
                <a:schemeClr val="lt1"/>
              </a:solidFill>
              <a:latin typeface="+mn-lt"/>
              <a:ea typeface="+mn-ea"/>
              <a:cs typeface="+mn-cs"/>
            </a:rPr>
            <a:t>Please copy your asset1 price in this colum</a:t>
          </a:r>
        </a:p>
      </xdr:txBody>
    </xdr:sp>
    <xdr:clientData/>
  </xdr:twoCellAnchor>
  <xdr:twoCellAnchor>
    <xdr:from>
      <xdr:col>3</xdr:col>
      <xdr:colOff>477370</xdr:colOff>
      <xdr:row>2</xdr:row>
      <xdr:rowOff>73959</xdr:rowOff>
    </xdr:from>
    <xdr:to>
      <xdr:col>5</xdr:col>
      <xdr:colOff>331693</xdr:colOff>
      <xdr:row>2</xdr:row>
      <xdr:rowOff>835959</xdr:rowOff>
    </xdr:to>
    <xdr:sp macro="" textlink="">
      <xdr:nvSpPr>
        <xdr:cNvPr id="16" name="Speech Bubble: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744320" y="712134"/>
          <a:ext cx="978273" cy="762000"/>
        </a:xfrm>
        <a:prstGeom prst="wedgeRectCallou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>
              <a:solidFill>
                <a:schemeClr val="lt1"/>
              </a:solidFill>
              <a:latin typeface="+mn-lt"/>
              <a:ea typeface="+mn-ea"/>
              <a:cs typeface="+mn-cs"/>
            </a:rPr>
            <a:t>Please copy your asset2 price in this colum</a:t>
          </a:r>
        </a:p>
      </xdr:txBody>
    </xdr:sp>
    <xdr:clientData/>
  </xdr:twoCellAnchor>
  <xdr:twoCellAnchor>
    <xdr:from>
      <xdr:col>6</xdr:col>
      <xdr:colOff>73958</xdr:colOff>
      <xdr:row>2</xdr:row>
      <xdr:rowOff>85165</xdr:rowOff>
    </xdr:from>
    <xdr:to>
      <xdr:col>8</xdr:col>
      <xdr:colOff>286869</xdr:colOff>
      <xdr:row>2</xdr:row>
      <xdr:rowOff>847165</xdr:rowOff>
    </xdr:to>
    <xdr:sp macro="" textlink="">
      <xdr:nvSpPr>
        <xdr:cNvPr id="17" name="Speech Bubble: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055408" y="723340"/>
          <a:ext cx="974911" cy="762000"/>
        </a:xfrm>
        <a:prstGeom prst="wedgeRectCallou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>
              <a:solidFill>
                <a:schemeClr val="lt1"/>
              </a:solidFill>
              <a:latin typeface="+mn-lt"/>
              <a:ea typeface="+mn-ea"/>
              <a:cs typeface="+mn-cs"/>
            </a:rPr>
            <a:t>Please copy your riskfree price in this colum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9D7C-AB9D-4558-8A4B-07B0A24B5879}">
  <sheetPr codeName="Sheet2"/>
  <dimension ref="A1:Y68"/>
  <sheetViews>
    <sheetView showGridLines="0" tabSelected="1" zoomScale="85" zoomScaleNormal="85" workbookViewId="0">
      <selection activeCell="Q19" sqref="Q19"/>
    </sheetView>
  </sheetViews>
  <sheetFormatPr defaultRowHeight="15" x14ac:dyDescent="0.25"/>
  <cols>
    <col min="1" max="1" width="10.85546875" style="3" customWidth="1"/>
    <col min="2" max="2" width="14.28515625" bestFit="1" customWidth="1"/>
    <col min="3" max="3" width="8.85546875" customWidth="1"/>
    <col min="4" max="4" width="7.42578125" customWidth="1"/>
    <col min="5" max="5" width="9.42578125" customWidth="1"/>
    <col min="6" max="6" width="8.85546875" customWidth="1"/>
    <col min="7" max="7" width="2.28515625" customWidth="1"/>
    <col min="8" max="8" width="9.140625" customWidth="1"/>
    <col min="9" max="9" width="11.42578125" customWidth="1"/>
    <col min="10" max="10" width="14.42578125" bestFit="1" customWidth="1"/>
    <col min="11" max="11" width="9.5703125" bestFit="1" customWidth="1"/>
    <col min="15" max="15" width="9.5703125" bestFit="1" customWidth="1"/>
  </cols>
  <sheetData>
    <row r="1" spans="1:25" ht="31.5" x14ac:dyDescent="0.5">
      <c r="A1" s="4" t="s">
        <v>2</v>
      </c>
      <c r="I1" s="5"/>
      <c r="J1" s="4" t="s">
        <v>3</v>
      </c>
    </row>
    <row r="2" spans="1:25" ht="18.75" x14ac:dyDescent="0.3">
      <c r="A2" s="6" t="s">
        <v>4</v>
      </c>
      <c r="I2" s="5"/>
    </row>
    <row r="3" spans="1:25" ht="71.25" customHeight="1" x14ac:dyDescent="0.25">
      <c r="A3"/>
      <c r="C3" s="7"/>
      <c r="I3" s="5"/>
      <c r="J3" s="8"/>
    </row>
    <row r="4" spans="1:25" x14ac:dyDescent="0.25">
      <c r="A4" s="36" t="s">
        <v>5</v>
      </c>
      <c r="B4" s="36" t="s">
        <v>6</v>
      </c>
      <c r="C4" s="9"/>
      <c r="D4" s="36" t="s">
        <v>7</v>
      </c>
      <c r="E4" s="36" t="s">
        <v>8</v>
      </c>
      <c r="F4" s="11"/>
      <c r="G4" s="36"/>
      <c r="H4" s="36" t="s">
        <v>9</v>
      </c>
      <c r="I4" s="38"/>
      <c r="J4" s="10" t="s">
        <v>10</v>
      </c>
      <c r="L4" t="s">
        <v>11</v>
      </c>
      <c r="M4" t="s">
        <v>12</v>
      </c>
      <c r="O4" s="11" t="s">
        <v>13</v>
      </c>
    </row>
    <row r="5" spans="1:25" x14ac:dyDescent="0.25">
      <c r="A5" s="36" t="s">
        <v>14</v>
      </c>
      <c r="B5" s="36" t="s">
        <v>15</v>
      </c>
      <c r="C5" s="37" t="s">
        <v>16</v>
      </c>
      <c r="D5" s="36"/>
      <c r="E5" s="36" t="s">
        <v>15</v>
      </c>
      <c r="F5" s="36" t="s">
        <v>16</v>
      </c>
      <c r="G5" s="38"/>
      <c r="H5" s="36" t="s">
        <v>15</v>
      </c>
      <c r="I5" s="38" t="s">
        <v>16</v>
      </c>
      <c r="J5" s="8"/>
      <c r="K5" t="s">
        <v>5</v>
      </c>
      <c r="L5" s="12"/>
      <c r="M5" s="12"/>
      <c r="O5" s="13"/>
      <c r="X5" s="1"/>
    </row>
    <row r="6" spans="1:25" x14ac:dyDescent="0.25">
      <c r="A6" s="3">
        <v>41730</v>
      </c>
      <c r="B6">
        <v>35.939903000000001</v>
      </c>
      <c r="E6">
        <v>33.433624000000002</v>
      </c>
      <c r="H6">
        <v>100</v>
      </c>
      <c r="I6" s="5"/>
      <c r="J6" s="8"/>
      <c r="K6" t="s">
        <v>7</v>
      </c>
      <c r="L6" s="12"/>
      <c r="M6" s="12"/>
      <c r="X6" s="1"/>
    </row>
    <row r="7" spans="1:25" x14ac:dyDescent="0.25">
      <c r="A7" s="3">
        <v>41760</v>
      </c>
      <c r="B7">
        <v>36.420287999999999</v>
      </c>
      <c r="E7">
        <v>35.248519999999999</v>
      </c>
      <c r="H7">
        <v>100.00166668055563</v>
      </c>
      <c r="J7" s="10" t="s">
        <v>17</v>
      </c>
      <c r="O7" s="11" t="s">
        <v>18</v>
      </c>
      <c r="X7" s="1"/>
    </row>
    <row r="8" spans="1:25" x14ac:dyDescent="0.25">
      <c r="A8" s="3">
        <v>41791</v>
      </c>
      <c r="B8">
        <v>37.358082000000003</v>
      </c>
      <c r="E8">
        <v>35.766945</v>
      </c>
      <c r="H8">
        <v>100.00416675347343</v>
      </c>
      <c r="J8" s="8"/>
      <c r="L8" t="s">
        <v>5</v>
      </c>
      <c r="M8" t="s">
        <v>7</v>
      </c>
      <c r="P8" t="s">
        <v>19</v>
      </c>
    </row>
    <row r="9" spans="1:25" x14ac:dyDescent="0.25">
      <c r="A9" s="3">
        <v>41821</v>
      </c>
      <c r="B9">
        <v>38.666080000000001</v>
      </c>
      <c r="E9">
        <v>35.573242</v>
      </c>
      <c r="H9">
        <v>100.00583350347553</v>
      </c>
      <c r="J9" s="8"/>
      <c r="K9" t="s">
        <v>5</v>
      </c>
      <c r="L9" s="12"/>
      <c r="M9" s="12"/>
      <c r="O9" t="s">
        <v>5</v>
      </c>
      <c r="P9" s="12"/>
      <c r="R9" t="s">
        <v>20</v>
      </c>
      <c r="S9" s="12"/>
      <c r="T9" s="35" t="s">
        <v>0</v>
      </c>
      <c r="U9" s="2">
        <v>1</v>
      </c>
    </row>
    <row r="10" spans="1:25" x14ac:dyDescent="0.25">
      <c r="A10" s="3">
        <v>41852</v>
      </c>
      <c r="B10">
        <v>40.699706999999997</v>
      </c>
      <c r="E10">
        <v>36.228152999999999</v>
      </c>
      <c r="H10">
        <v>100.0073336022288</v>
      </c>
      <c r="J10" s="8"/>
      <c r="K10" t="s">
        <v>7</v>
      </c>
      <c r="L10" s="12"/>
      <c r="M10" s="12"/>
      <c r="O10" t="s">
        <v>7</v>
      </c>
      <c r="P10" s="12"/>
      <c r="R10" t="s">
        <v>21</v>
      </c>
      <c r="S10" s="12"/>
      <c r="T10" s="12"/>
      <c r="U10" s="2">
        <v>1</v>
      </c>
    </row>
    <row r="11" spans="1:25" x14ac:dyDescent="0.25">
      <c r="A11" s="3">
        <v>41883</v>
      </c>
      <c r="B11">
        <v>41.792278000000003</v>
      </c>
      <c r="E11">
        <v>41.642853000000002</v>
      </c>
      <c r="H11">
        <v>100.0088337234837</v>
      </c>
      <c r="J11" s="8"/>
      <c r="O11" s="11" t="s">
        <v>22</v>
      </c>
    </row>
    <row r="12" spans="1:25" x14ac:dyDescent="0.25">
      <c r="A12" s="3">
        <v>41913</v>
      </c>
      <c r="B12">
        <v>42.324145999999999</v>
      </c>
      <c r="E12">
        <v>43.402878000000001</v>
      </c>
      <c r="H12">
        <v>100.00991715838431</v>
      </c>
      <c r="J12" s="10" t="s">
        <v>23</v>
      </c>
      <c r="L12" t="s">
        <v>5</v>
      </c>
      <c r="M12" t="s">
        <v>7</v>
      </c>
      <c r="P12" t="s">
        <v>19</v>
      </c>
    </row>
    <row r="13" spans="1:25" x14ac:dyDescent="0.25">
      <c r="A13" s="3">
        <v>41944</v>
      </c>
      <c r="B13">
        <v>43.099421999999997</v>
      </c>
      <c r="E13">
        <v>46.353352000000001</v>
      </c>
      <c r="H13">
        <v>100.01016718348974</v>
      </c>
      <c r="J13" s="8"/>
      <c r="K13" t="s">
        <v>5</v>
      </c>
      <c r="L13" s="12"/>
      <c r="M13" s="12"/>
      <c r="O13" t="s">
        <v>5</v>
      </c>
      <c r="P13" s="12"/>
      <c r="R13" t="s">
        <v>20</v>
      </c>
      <c r="S13" s="12"/>
      <c r="T13" s="35" t="s">
        <v>0</v>
      </c>
    </row>
    <row r="14" spans="1:25" x14ac:dyDescent="0.25">
      <c r="A14" s="3">
        <v>41974</v>
      </c>
      <c r="B14">
        <v>42.137520000000002</v>
      </c>
      <c r="E14">
        <v>44.887450999999999</v>
      </c>
      <c r="H14">
        <v>100.01058389338782</v>
      </c>
      <c r="J14" s="8"/>
      <c r="K14" t="s">
        <v>7</v>
      </c>
      <c r="L14" s="12"/>
      <c r="M14" s="12"/>
      <c r="O14" t="s">
        <v>7</v>
      </c>
      <c r="P14" s="12"/>
      <c r="R14" t="s">
        <v>21</v>
      </c>
      <c r="S14" s="12"/>
      <c r="T14" s="12"/>
      <c r="Y14" s="2" t="b">
        <v>0</v>
      </c>
    </row>
    <row r="15" spans="1:25" x14ac:dyDescent="0.25">
      <c r="A15" s="3">
        <v>42005</v>
      </c>
      <c r="B15">
        <v>36.649211999999999</v>
      </c>
      <c r="E15">
        <v>43.315117000000001</v>
      </c>
      <c r="H15">
        <v>100.0136676005981</v>
      </c>
      <c r="J15" s="8"/>
    </row>
    <row r="16" spans="1:25" x14ac:dyDescent="0.25">
      <c r="A16" s="3">
        <v>42036</v>
      </c>
      <c r="B16">
        <v>39.778903999999997</v>
      </c>
      <c r="E16">
        <v>45.601787999999999</v>
      </c>
      <c r="H16">
        <v>100.01408432508127</v>
      </c>
      <c r="J16" s="8"/>
    </row>
    <row r="17" spans="1:19" x14ac:dyDescent="0.25">
      <c r="A17" s="3">
        <v>42064</v>
      </c>
      <c r="B17">
        <v>37.147564000000003</v>
      </c>
      <c r="E17">
        <v>47.383071999999999</v>
      </c>
      <c r="H17">
        <v>100.01475108786597</v>
      </c>
      <c r="J17" s="8"/>
      <c r="R17" s="5"/>
    </row>
    <row r="18" spans="1:19" x14ac:dyDescent="0.25">
      <c r="A18" s="3">
        <v>42095</v>
      </c>
      <c r="B18">
        <v>44.438209999999998</v>
      </c>
      <c r="E18">
        <v>46.679378999999997</v>
      </c>
      <c r="H18">
        <v>100.01683475021837</v>
      </c>
      <c r="J18" s="14" t="s">
        <v>24</v>
      </c>
      <c r="K18" s="15"/>
      <c r="M18" s="16"/>
      <c r="N18" s="17" t="s">
        <v>25</v>
      </c>
      <c r="O18" s="17" t="s">
        <v>26</v>
      </c>
      <c r="P18" s="17"/>
      <c r="R18" s="5"/>
    </row>
    <row r="19" spans="1:19" x14ac:dyDescent="0.25">
      <c r="A19" s="3">
        <v>42125</v>
      </c>
      <c r="B19">
        <v>42.811973999999999</v>
      </c>
      <c r="E19">
        <v>48.015911000000003</v>
      </c>
      <c r="H19">
        <v>100.01725148789802</v>
      </c>
      <c r="J19" s="18"/>
      <c r="M19" s="16"/>
      <c r="N19" s="17" t="s">
        <v>27</v>
      </c>
      <c r="O19" s="17" t="s">
        <v>28</v>
      </c>
      <c r="P19" s="17"/>
      <c r="R19" s="19">
        <v>2</v>
      </c>
    </row>
    <row r="20" spans="1:19" x14ac:dyDescent="0.25">
      <c r="A20" s="3">
        <v>42156</v>
      </c>
      <c r="B20">
        <v>40.598216999999998</v>
      </c>
      <c r="E20">
        <v>51.294159000000001</v>
      </c>
      <c r="H20">
        <v>100.01750153133929</v>
      </c>
      <c r="J20" s="18"/>
      <c r="K20" s="16" t="s">
        <v>1</v>
      </c>
      <c r="L20" s="16"/>
      <c r="M20" s="17" t="s">
        <v>29</v>
      </c>
      <c r="N20" s="17" t="s">
        <v>30</v>
      </c>
      <c r="O20" s="17" t="s">
        <v>31</v>
      </c>
      <c r="P20" s="17"/>
    </row>
    <row r="21" spans="1:19" x14ac:dyDescent="0.25">
      <c r="A21" s="3">
        <v>42186</v>
      </c>
      <c r="B21">
        <v>42.943080999999999</v>
      </c>
      <c r="E21">
        <v>54.713138999999998</v>
      </c>
      <c r="H21">
        <v>100.01833501399156</v>
      </c>
      <c r="J21" s="18"/>
      <c r="K21" s="39" t="s">
        <v>32</v>
      </c>
      <c r="L21" s="39" t="s">
        <v>33</v>
      </c>
      <c r="M21" s="39" t="s">
        <v>34</v>
      </c>
      <c r="N21" s="39" t="s">
        <v>35</v>
      </c>
      <c r="O21" s="39" t="s">
        <v>36</v>
      </c>
      <c r="P21" s="39" t="s">
        <v>37</v>
      </c>
      <c r="R21" s="20"/>
      <c r="S21" s="20"/>
    </row>
    <row r="22" spans="1:19" x14ac:dyDescent="0.25">
      <c r="A22" s="3">
        <v>42217</v>
      </c>
      <c r="B22">
        <v>40.018901999999997</v>
      </c>
      <c r="E22">
        <v>53.065379999999998</v>
      </c>
      <c r="H22">
        <v>100.02316935034609</v>
      </c>
      <c r="J22" s="18"/>
      <c r="K22" s="40" t="s">
        <v>38</v>
      </c>
      <c r="L22" s="40" t="s">
        <v>39</v>
      </c>
      <c r="M22" s="40" t="s">
        <v>40</v>
      </c>
      <c r="N22" s="40" t="s">
        <v>41</v>
      </c>
      <c r="O22" s="40" t="s">
        <v>42</v>
      </c>
      <c r="P22" s="40" t="s">
        <v>43</v>
      </c>
      <c r="R22" s="20"/>
      <c r="S22" s="20"/>
    </row>
    <row r="23" spans="1:19" x14ac:dyDescent="0.25">
      <c r="A23" s="3">
        <v>42248</v>
      </c>
      <c r="B23">
        <v>40.967751</v>
      </c>
      <c r="E23">
        <v>58.393279999999997</v>
      </c>
      <c r="H23">
        <v>100.02733706922923</v>
      </c>
      <c r="J23" s="18" t="s">
        <v>44</v>
      </c>
      <c r="K23" s="21">
        <v>-1.5</v>
      </c>
      <c r="L23" s="22"/>
      <c r="M23" s="22"/>
      <c r="N23" s="23"/>
      <c r="O23" s="12"/>
      <c r="P23" s="12"/>
      <c r="R23" s="20"/>
      <c r="S23" s="20"/>
    </row>
    <row r="24" spans="1:19" x14ac:dyDescent="0.25">
      <c r="A24" s="3">
        <v>42278</v>
      </c>
      <c r="B24">
        <v>48.724418999999997</v>
      </c>
      <c r="E24">
        <v>62.536987000000003</v>
      </c>
      <c r="H24">
        <v>100.02775385066865</v>
      </c>
      <c r="J24" s="18" t="s">
        <v>44</v>
      </c>
      <c r="K24" s="21">
        <v>-1.4</v>
      </c>
      <c r="L24" s="22"/>
      <c r="M24" s="22"/>
      <c r="N24" s="23"/>
      <c r="O24" s="12"/>
      <c r="P24" s="12"/>
    </row>
    <row r="25" spans="1:19" x14ac:dyDescent="0.25">
      <c r="A25" s="3">
        <v>42309</v>
      </c>
      <c r="B25">
        <v>50.307217000000001</v>
      </c>
      <c r="E25">
        <v>63.133583000000002</v>
      </c>
      <c r="H25">
        <v>100.03342225065666</v>
      </c>
      <c r="J25" s="18" t="s">
        <v>44</v>
      </c>
      <c r="K25" s="21">
        <v>-1.3</v>
      </c>
      <c r="L25" s="22"/>
      <c r="M25" s="22"/>
      <c r="N25" s="23"/>
      <c r="O25" s="12"/>
      <c r="P25" s="12"/>
    </row>
    <row r="26" spans="1:19" x14ac:dyDescent="0.25">
      <c r="A26" s="3">
        <v>42339</v>
      </c>
      <c r="B26">
        <v>51.699309999999997</v>
      </c>
      <c r="E26">
        <v>59.659039</v>
      </c>
      <c r="H26">
        <v>100.04759465599717</v>
      </c>
      <c r="J26" s="18" t="s">
        <v>44</v>
      </c>
      <c r="K26" s="21">
        <v>-1.2</v>
      </c>
      <c r="L26" s="22"/>
      <c r="M26" s="22"/>
      <c r="N26" s="23"/>
      <c r="O26" s="12"/>
      <c r="P26" s="12"/>
    </row>
    <row r="27" spans="1:19" x14ac:dyDescent="0.25">
      <c r="A27" s="3">
        <v>42370</v>
      </c>
      <c r="B27">
        <v>51.335884</v>
      </c>
      <c r="E27">
        <v>59.478969999999997</v>
      </c>
      <c r="H27">
        <v>100.05993462028691</v>
      </c>
      <c r="J27" s="18" t="s">
        <v>44</v>
      </c>
      <c r="K27" s="21">
        <v>-1.1000000000000001</v>
      </c>
      <c r="L27" s="22"/>
      <c r="M27" s="22"/>
      <c r="N27" s="23"/>
      <c r="O27" s="12"/>
      <c r="P27" s="12"/>
    </row>
    <row r="28" spans="1:19" x14ac:dyDescent="0.25">
      <c r="A28" s="3">
        <v>42401</v>
      </c>
      <c r="B28">
        <v>47.412768999999997</v>
      </c>
      <c r="E28">
        <v>59.076126000000002</v>
      </c>
      <c r="H28">
        <v>100.08495273107553</v>
      </c>
      <c r="J28" s="18" t="s">
        <v>44</v>
      </c>
      <c r="K28" s="21">
        <v>-1</v>
      </c>
      <c r="L28" s="22"/>
      <c r="M28" s="22"/>
      <c r="N28" s="23"/>
      <c r="O28" s="12"/>
      <c r="P28" s="12"/>
    </row>
    <row r="29" spans="1:19" x14ac:dyDescent="0.25">
      <c r="A29" s="3">
        <v>42430</v>
      </c>
      <c r="B29">
        <v>51.835869000000002</v>
      </c>
      <c r="E29">
        <v>58.961013999999999</v>
      </c>
      <c r="H29">
        <v>100.11064449924572</v>
      </c>
      <c r="J29" s="18" t="s">
        <v>44</v>
      </c>
      <c r="K29" s="21">
        <v>-0.89999999999999902</v>
      </c>
      <c r="L29" s="22"/>
      <c r="M29" s="22"/>
      <c r="N29" s="23"/>
      <c r="O29" s="12"/>
      <c r="P29" s="12"/>
    </row>
    <row r="30" spans="1:19" x14ac:dyDescent="0.25">
      <c r="A30" s="3">
        <v>42461</v>
      </c>
      <c r="B30">
        <v>46.805256</v>
      </c>
      <c r="E30">
        <v>56.680031</v>
      </c>
      <c r="H30">
        <v>100.1267469227712</v>
      </c>
      <c r="J30" s="18" t="s">
        <v>44</v>
      </c>
      <c r="K30" s="21">
        <v>-0.79999999999999905</v>
      </c>
      <c r="L30" s="22"/>
      <c r="M30" s="22"/>
      <c r="N30" s="23"/>
      <c r="O30" s="34"/>
      <c r="P30" s="12"/>
    </row>
    <row r="31" spans="1:19" x14ac:dyDescent="0.25">
      <c r="A31" s="3">
        <v>42491</v>
      </c>
      <c r="B31">
        <v>49.742905</v>
      </c>
      <c r="E31">
        <v>53.102673000000003</v>
      </c>
      <c r="H31">
        <v>100.14285193631142</v>
      </c>
      <c r="J31" s="18" t="s">
        <v>44</v>
      </c>
      <c r="K31" s="21">
        <v>-0.69999999999999896</v>
      </c>
      <c r="L31" s="22"/>
      <c r="M31" s="22"/>
      <c r="N31" s="23"/>
      <c r="O31" s="12"/>
      <c r="P31" s="12"/>
    </row>
    <row r="32" spans="1:19" x14ac:dyDescent="0.25">
      <c r="A32" s="3">
        <v>42522</v>
      </c>
      <c r="B32">
        <v>48.361279000000003</v>
      </c>
      <c r="E32">
        <v>53.083443000000003</v>
      </c>
      <c r="H32">
        <v>100.16647174395258</v>
      </c>
      <c r="J32" s="18" t="s">
        <v>44</v>
      </c>
      <c r="K32" s="21">
        <v>-0.59999999999999898</v>
      </c>
      <c r="L32" s="22"/>
      <c r="M32" s="22"/>
      <c r="N32" s="23"/>
      <c r="O32" s="12"/>
      <c r="P32" s="12"/>
    </row>
    <row r="33" spans="1:16" x14ac:dyDescent="0.25">
      <c r="A33" s="3">
        <v>42552</v>
      </c>
      <c r="B33">
        <v>53.568832</v>
      </c>
      <c r="E33">
        <v>53.527855000000002</v>
      </c>
      <c r="H33">
        <v>100.18717495403769</v>
      </c>
      <c r="J33" s="18" t="s">
        <v>44</v>
      </c>
      <c r="K33" s="21">
        <v>-0.5</v>
      </c>
      <c r="L33" s="22"/>
      <c r="M33" s="22"/>
      <c r="N33" s="23"/>
      <c r="O33" s="12"/>
      <c r="P33" s="12"/>
    </row>
    <row r="34" spans="1:16" x14ac:dyDescent="0.25">
      <c r="A34" s="3">
        <v>42583</v>
      </c>
      <c r="B34">
        <v>54.306023000000003</v>
      </c>
      <c r="E34">
        <v>55.591811999999997</v>
      </c>
      <c r="H34">
        <v>100.20721439290558</v>
      </c>
      <c r="J34" s="18" t="s">
        <v>44</v>
      </c>
      <c r="K34" s="21">
        <v>-0.4</v>
      </c>
      <c r="L34" s="22"/>
      <c r="M34" s="22"/>
      <c r="N34" s="23"/>
      <c r="O34" s="12"/>
      <c r="P34" s="12"/>
    </row>
    <row r="35" spans="1:16" x14ac:dyDescent="0.25">
      <c r="A35" s="3">
        <v>42614</v>
      </c>
      <c r="B35">
        <v>54.777633999999999</v>
      </c>
      <c r="E35">
        <v>50.779133000000002</v>
      </c>
      <c r="H35">
        <v>100.23393987998358</v>
      </c>
      <c r="J35" s="18" t="s">
        <v>44</v>
      </c>
      <c r="K35" s="21">
        <v>-0.3</v>
      </c>
      <c r="L35" s="22"/>
      <c r="M35" s="22"/>
      <c r="N35" s="23"/>
      <c r="O35" s="12"/>
      <c r="P35" s="12"/>
    </row>
    <row r="36" spans="1:16" x14ac:dyDescent="0.25">
      <c r="A36" s="3">
        <v>42644</v>
      </c>
      <c r="B36">
        <v>56.983955000000002</v>
      </c>
      <c r="E36">
        <v>48.664622999999999</v>
      </c>
      <c r="H36">
        <v>100.25565958650749</v>
      </c>
      <c r="J36" s="18" t="s">
        <v>44</v>
      </c>
      <c r="K36" s="21">
        <v>-0.2</v>
      </c>
      <c r="L36" s="22"/>
      <c r="M36" s="22"/>
      <c r="N36" s="23"/>
      <c r="O36" s="12"/>
      <c r="P36" s="12"/>
    </row>
    <row r="37" spans="1:16" x14ac:dyDescent="0.25">
      <c r="A37" s="3">
        <v>42675</v>
      </c>
      <c r="B37">
        <v>57.307293000000001</v>
      </c>
      <c r="E37">
        <v>48.557949000000001</v>
      </c>
      <c r="H37">
        <v>100.28030879916409</v>
      </c>
      <c r="J37" s="18" t="s">
        <v>44</v>
      </c>
      <c r="K37" s="21">
        <v>-0.1</v>
      </c>
      <c r="L37" s="22"/>
      <c r="M37" s="22"/>
      <c r="N37" s="23"/>
      <c r="O37" s="12"/>
      <c r="P37" s="12"/>
    </row>
    <row r="38" spans="1:16" x14ac:dyDescent="0.25">
      <c r="A38" s="3">
        <v>42705</v>
      </c>
      <c r="B38">
        <v>59.494388999999998</v>
      </c>
      <c r="E38">
        <v>50.158115000000002</v>
      </c>
      <c r="H38">
        <v>100.31942574690476</v>
      </c>
      <c r="J38" s="18" t="s">
        <v>44</v>
      </c>
      <c r="K38" s="21">
        <v>0</v>
      </c>
      <c r="L38" s="22"/>
      <c r="M38" s="22"/>
      <c r="N38" s="23"/>
      <c r="O38" s="12"/>
      <c r="P38" s="12"/>
    </row>
    <row r="39" spans="1:16" x14ac:dyDescent="0.25">
      <c r="A39" s="3">
        <v>42736</v>
      </c>
      <c r="B39">
        <v>61.897533000000003</v>
      </c>
      <c r="E39">
        <v>51.487578999999997</v>
      </c>
      <c r="H39">
        <v>100.35956154382777</v>
      </c>
      <c r="J39" s="18" t="s">
        <v>44</v>
      </c>
      <c r="K39" s="21">
        <v>0.1</v>
      </c>
      <c r="L39" s="22"/>
      <c r="M39" s="22"/>
      <c r="N39" s="23"/>
      <c r="O39" s="12"/>
      <c r="P39" s="12"/>
    </row>
    <row r="40" spans="1:16" x14ac:dyDescent="0.25">
      <c r="A40" s="3">
        <v>42767</v>
      </c>
      <c r="B40">
        <v>61.256058000000003</v>
      </c>
      <c r="E40">
        <v>55.633839000000002</v>
      </c>
      <c r="H40">
        <v>100.40138674078196</v>
      </c>
      <c r="J40" s="18" t="s">
        <v>44</v>
      </c>
      <c r="K40" s="21">
        <v>0.2</v>
      </c>
      <c r="L40" s="22"/>
      <c r="M40" s="22"/>
      <c r="N40" s="23"/>
      <c r="O40" s="12"/>
      <c r="P40" s="12"/>
    </row>
    <row r="41" spans="1:16" x14ac:dyDescent="0.25">
      <c r="A41" s="3">
        <v>42795</v>
      </c>
      <c r="B41">
        <v>63.438282000000001</v>
      </c>
      <c r="E41">
        <v>54.242023000000003</v>
      </c>
      <c r="H41">
        <v>100.44515454887853</v>
      </c>
      <c r="J41" s="18" t="s">
        <v>44</v>
      </c>
      <c r="K41" s="21">
        <v>0.3</v>
      </c>
      <c r="L41" s="22"/>
      <c r="M41" s="22"/>
      <c r="N41" s="23"/>
      <c r="O41" s="12"/>
      <c r="P41" s="12"/>
    </row>
    <row r="42" spans="1:16" x14ac:dyDescent="0.25">
      <c r="A42" s="3">
        <v>42826</v>
      </c>
      <c r="B42">
        <v>65.942688000000004</v>
      </c>
      <c r="E42">
        <v>54.098602</v>
      </c>
      <c r="H42">
        <v>100.50694731825504</v>
      </c>
      <c r="J42" s="18" t="s">
        <v>44</v>
      </c>
      <c r="K42" s="21">
        <v>0.4</v>
      </c>
      <c r="L42" s="22"/>
      <c r="M42" s="22"/>
      <c r="N42" s="23"/>
      <c r="O42" s="12"/>
      <c r="P42" s="12"/>
    </row>
    <row r="43" spans="1:16" x14ac:dyDescent="0.25">
      <c r="A43" s="3">
        <v>42856</v>
      </c>
      <c r="B43">
        <v>67.271941999999996</v>
      </c>
      <c r="E43">
        <v>51.735881999999997</v>
      </c>
      <c r="H43">
        <v>100.57229807070556</v>
      </c>
      <c r="J43" s="18" t="s">
        <v>44</v>
      </c>
      <c r="K43" s="21">
        <v>0.5</v>
      </c>
      <c r="L43" s="22"/>
      <c r="M43" s="22"/>
      <c r="N43" s="23"/>
      <c r="O43" s="12"/>
      <c r="P43" s="12"/>
    </row>
    <row r="44" spans="1:16" x14ac:dyDescent="0.25">
      <c r="A44" s="3">
        <v>42887</v>
      </c>
      <c r="B44">
        <v>66.775977999999995</v>
      </c>
      <c r="E44">
        <v>57.603637999999997</v>
      </c>
      <c r="H44">
        <v>100.65194933114211</v>
      </c>
      <c r="J44" s="18" t="s">
        <v>44</v>
      </c>
      <c r="K44" s="21">
        <v>0.6</v>
      </c>
      <c r="L44" s="22"/>
      <c r="M44" s="22"/>
      <c r="N44" s="23"/>
      <c r="O44" s="12"/>
      <c r="P44" s="12"/>
    </row>
    <row r="45" spans="1:16" x14ac:dyDescent="0.25">
      <c r="A45" s="3">
        <v>42917</v>
      </c>
      <c r="B45">
        <v>70.428162</v>
      </c>
      <c r="E45">
        <v>57.848956999999999</v>
      </c>
      <c r="H45">
        <v>100.73527328974679</v>
      </c>
      <c r="J45" s="18" t="s">
        <v>44</v>
      </c>
      <c r="K45" s="21">
        <v>0.7</v>
      </c>
      <c r="L45" s="22"/>
      <c r="M45" s="22"/>
      <c r="N45" s="23"/>
      <c r="O45" s="12"/>
      <c r="P45" s="12"/>
    </row>
    <row r="46" spans="1:16" x14ac:dyDescent="0.25">
      <c r="A46" s="3">
        <v>42948</v>
      </c>
      <c r="B46">
        <v>72.433471999999995</v>
      </c>
      <c r="E46">
        <v>51.735878</v>
      </c>
      <c r="H46">
        <v>100.82370728680019</v>
      </c>
      <c r="J46" s="18" t="s">
        <v>44</v>
      </c>
      <c r="K46" s="21">
        <v>0.8</v>
      </c>
      <c r="L46" s="22"/>
      <c r="M46" s="22"/>
      <c r="N46" s="23"/>
      <c r="O46" s="12"/>
      <c r="P46" s="12"/>
    </row>
    <row r="47" spans="1:16" x14ac:dyDescent="0.25">
      <c r="A47" s="3">
        <v>42979</v>
      </c>
      <c r="B47">
        <v>72.546715000000006</v>
      </c>
      <c r="E47">
        <v>50.969951999999999</v>
      </c>
      <c r="H47">
        <v>100.90591210215096</v>
      </c>
      <c r="J47" s="18" t="s">
        <v>44</v>
      </c>
      <c r="K47" s="21">
        <v>0.9</v>
      </c>
      <c r="L47" s="22"/>
      <c r="M47" s="22"/>
      <c r="N47" s="23"/>
      <c r="O47" s="12"/>
      <c r="P47" s="12"/>
    </row>
    <row r="48" spans="1:16" x14ac:dyDescent="0.25">
      <c r="A48" s="3">
        <v>43009</v>
      </c>
      <c r="B48">
        <v>81.010009999999994</v>
      </c>
      <c r="E48">
        <v>54.056663999999998</v>
      </c>
      <c r="H48">
        <v>100.99239187039709</v>
      </c>
      <c r="J48" s="18" t="s">
        <v>44</v>
      </c>
      <c r="K48" s="21">
        <v>1</v>
      </c>
      <c r="L48" s="22"/>
      <c r="M48" s="22"/>
      <c r="N48" s="23"/>
      <c r="O48" s="12"/>
      <c r="P48" s="12"/>
    </row>
    <row r="49" spans="1:16" x14ac:dyDescent="0.25">
      <c r="A49" s="3">
        <v>43040</v>
      </c>
      <c r="B49">
        <v>81.974181999999999</v>
      </c>
      <c r="E49">
        <v>59.394489</v>
      </c>
      <c r="H49">
        <v>101.08694815468291</v>
      </c>
      <c r="J49" s="18" t="s">
        <v>44</v>
      </c>
      <c r="K49" s="21">
        <v>1.1000000000000001</v>
      </c>
      <c r="L49" s="22"/>
      <c r="M49" s="22"/>
      <c r="N49" s="23"/>
      <c r="O49" s="12"/>
      <c r="P49" s="12"/>
    </row>
    <row r="50" spans="1:16" x14ac:dyDescent="0.25">
      <c r="A50" s="3">
        <v>43070</v>
      </c>
      <c r="B50">
        <v>83.726814000000005</v>
      </c>
      <c r="E50">
        <v>61.488342000000003</v>
      </c>
      <c r="H50">
        <v>101.19129000327817</v>
      </c>
      <c r="J50" s="18" t="s">
        <v>44</v>
      </c>
      <c r="K50" s="21">
        <v>1.2</v>
      </c>
      <c r="L50" s="22"/>
      <c r="M50" s="22"/>
      <c r="N50" s="23"/>
      <c r="O50" s="12"/>
      <c r="P50" s="12"/>
    </row>
    <row r="51" spans="1:16" x14ac:dyDescent="0.25">
      <c r="A51" s="3">
        <v>43101</v>
      </c>
      <c r="B51">
        <v>92.996077999999997</v>
      </c>
      <c r="E51">
        <v>67.284828000000005</v>
      </c>
      <c r="H51">
        <v>101.30561636952048</v>
      </c>
      <c r="J51" s="18" t="s">
        <v>44</v>
      </c>
      <c r="K51" s="21">
        <v>1.3</v>
      </c>
      <c r="L51" s="22"/>
      <c r="M51" s="22"/>
      <c r="N51" s="23"/>
      <c r="O51" s="12"/>
      <c r="P51" s="12"/>
    </row>
    <row r="52" spans="1:16" x14ac:dyDescent="0.25">
      <c r="A52" s="3">
        <v>43132</v>
      </c>
      <c r="B52">
        <v>91.782364000000001</v>
      </c>
      <c r="E52">
        <v>66.111144999999993</v>
      </c>
      <c r="H52">
        <v>101.42641085478024</v>
      </c>
      <c r="J52" s="18" t="s">
        <v>44</v>
      </c>
      <c r="K52" s="21">
        <v>1.4</v>
      </c>
      <c r="L52" s="22"/>
      <c r="M52" s="22"/>
      <c r="N52" s="23"/>
      <c r="O52" s="12"/>
      <c r="P52" s="12"/>
    </row>
    <row r="53" spans="1:16" x14ac:dyDescent="0.25">
      <c r="A53" s="3">
        <v>43160</v>
      </c>
      <c r="B53">
        <v>89.755013000000005</v>
      </c>
      <c r="E53">
        <v>65.529235999999997</v>
      </c>
      <c r="H53">
        <v>101.56325970361574</v>
      </c>
      <c r="J53" s="18" t="s">
        <v>44</v>
      </c>
      <c r="K53" s="21">
        <v>1.5</v>
      </c>
      <c r="L53" s="22"/>
      <c r="M53" s="22"/>
      <c r="N53" s="23"/>
      <c r="O53" s="12"/>
      <c r="P53" s="12"/>
    </row>
    <row r="54" spans="1:16" x14ac:dyDescent="0.25">
      <c r="A54" s="3">
        <v>43191</v>
      </c>
      <c r="B54">
        <v>91.967658999999998</v>
      </c>
      <c r="E54">
        <v>67.656540000000007</v>
      </c>
      <c r="H54">
        <v>101.70470030295921</v>
      </c>
      <c r="J54" s="18" t="s">
        <v>44</v>
      </c>
      <c r="K54" s="21">
        <v>1.6</v>
      </c>
      <c r="L54" s="22"/>
      <c r="M54" s="22"/>
      <c r="N54" s="23"/>
      <c r="O54" s="12"/>
      <c r="P54" s="12"/>
    </row>
    <row r="55" spans="1:16" x14ac:dyDescent="0.25">
      <c r="A55" s="3">
        <v>43221</v>
      </c>
      <c r="B55">
        <v>97.199355999999995</v>
      </c>
      <c r="E55">
        <v>71.029961</v>
      </c>
      <c r="H55">
        <v>101.85423127455093</v>
      </c>
      <c r="J55" s="18" t="s">
        <v>44</v>
      </c>
      <c r="K55" s="21">
        <v>1.7</v>
      </c>
      <c r="L55" s="22"/>
      <c r="M55" s="22"/>
      <c r="N55" s="23"/>
      <c r="O55" s="12"/>
      <c r="P55" s="12"/>
    </row>
    <row r="56" spans="1:16" x14ac:dyDescent="0.25">
      <c r="A56" s="3">
        <v>43252</v>
      </c>
      <c r="B56">
        <v>97.393494000000004</v>
      </c>
      <c r="E56">
        <v>78.825455000000005</v>
      </c>
      <c r="H56">
        <v>102.01307785410172</v>
      </c>
      <c r="J56" s="18" t="s">
        <v>44</v>
      </c>
      <c r="K56" s="21">
        <v>1.8</v>
      </c>
      <c r="L56" s="22"/>
      <c r="M56" s="22"/>
      <c r="N56" s="23"/>
      <c r="O56" s="12"/>
      <c r="P56" s="12"/>
    </row>
    <row r="57" spans="1:16" x14ac:dyDescent="0.25">
      <c r="A57" s="3">
        <v>43282</v>
      </c>
      <c r="B57">
        <v>104.771339</v>
      </c>
      <c r="E57">
        <v>76.297691</v>
      </c>
      <c r="H57">
        <v>102.17302360085993</v>
      </c>
      <c r="J57" s="18" t="s">
        <v>44</v>
      </c>
      <c r="K57" s="21">
        <v>1.9</v>
      </c>
      <c r="L57" s="22"/>
      <c r="M57" s="22"/>
      <c r="N57" s="23"/>
      <c r="O57" s="12"/>
      <c r="P57" s="12"/>
    </row>
    <row r="58" spans="1:16" x14ac:dyDescent="0.25">
      <c r="A58" s="3">
        <v>43313</v>
      </c>
      <c r="B58">
        <v>110.944244</v>
      </c>
      <c r="E58">
        <v>81.545569999999998</v>
      </c>
      <c r="H58">
        <v>102.34217467419639</v>
      </c>
      <c r="J58" s="18" t="s">
        <v>44</v>
      </c>
      <c r="K58" s="21">
        <v>2</v>
      </c>
      <c r="L58" s="22"/>
      <c r="M58" s="22"/>
      <c r="N58" s="23"/>
      <c r="O58" s="12"/>
      <c r="P58" s="12"/>
    </row>
    <row r="59" spans="1:16" x14ac:dyDescent="0.25">
      <c r="A59" s="3">
        <v>43344</v>
      </c>
      <c r="B59">
        <v>113.39376799999999</v>
      </c>
      <c r="E59">
        <v>84.252517999999995</v>
      </c>
      <c r="H59">
        <v>102.5175858012351</v>
      </c>
      <c r="J59" s="18" t="s">
        <v>44</v>
      </c>
      <c r="K59" s="21">
        <v>2.1</v>
      </c>
      <c r="L59" s="22"/>
      <c r="M59" s="22"/>
      <c r="N59" s="23"/>
      <c r="O59" s="12"/>
      <c r="P59" s="12"/>
    </row>
    <row r="60" spans="1:16" x14ac:dyDescent="0.25">
      <c r="A60" s="3">
        <v>43374</v>
      </c>
      <c r="B60">
        <v>105.898293</v>
      </c>
      <c r="E60">
        <v>74.625930999999994</v>
      </c>
      <c r="H60">
        <v>102.7014277850607</v>
      </c>
      <c r="J60" s="18" t="s">
        <v>44</v>
      </c>
      <c r="K60" s="21">
        <v>2.2000000000000002</v>
      </c>
      <c r="L60" s="22"/>
      <c r="M60" s="22"/>
      <c r="N60" s="23"/>
      <c r="O60" s="12"/>
      <c r="P60" s="12"/>
    </row>
    <row r="61" spans="1:16" x14ac:dyDescent="0.25">
      <c r="A61" s="3">
        <v>43405</v>
      </c>
      <c r="B61">
        <v>109.94347399999999</v>
      </c>
      <c r="E61">
        <v>74.705489999999998</v>
      </c>
      <c r="H61">
        <v>102.89657449695636</v>
      </c>
      <c r="J61" s="18" t="s">
        <v>44</v>
      </c>
      <c r="K61" s="21">
        <v>2.2999999999999998</v>
      </c>
      <c r="L61" s="22"/>
      <c r="M61" s="22"/>
      <c r="N61" s="23"/>
      <c r="O61" s="12"/>
      <c r="P61" s="12"/>
    </row>
    <row r="62" spans="1:16" x14ac:dyDescent="0.25">
      <c r="A62" s="3">
        <v>43435</v>
      </c>
      <c r="B62">
        <v>101.138069</v>
      </c>
      <c r="E62">
        <v>73.949737999999996</v>
      </c>
      <c r="H62">
        <v>103.09466934872172</v>
      </c>
      <c r="J62" s="18" t="s">
        <v>44</v>
      </c>
      <c r="K62" s="21">
        <v>2.4</v>
      </c>
      <c r="L62" s="22"/>
      <c r="M62" s="22"/>
      <c r="N62" s="23"/>
      <c r="O62" s="12"/>
      <c r="P62" s="12"/>
    </row>
    <row r="63" spans="1:16" x14ac:dyDescent="0.25">
      <c r="A63" s="3">
        <v>43466</v>
      </c>
      <c r="B63">
        <v>103.98590900000001</v>
      </c>
      <c r="E63">
        <v>81.669876000000002</v>
      </c>
      <c r="H63">
        <v>103.29245695087596</v>
      </c>
      <c r="J63" s="18" t="s">
        <v>44</v>
      </c>
      <c r="K63" s="21">
        <v>2.5</v>
      </c>
      <c r="L63" s="22"/>
      <c r="M63" s="22"/>
      <c r="N63" s="23"/>
      <c r="O63" s="12"/>
      <c r="P63" s="12"/>
    </row>
    <row r="64" spans="1:16" x14ac:dyDescent="0.25">
      <c r="A64" s="3">
        <v>43497</v>
      </c>
      <c r="B64">
        <v>111.553589</v>
      </c>
      <c r="E64">
        <v>85.510002</v>
      </c>
      <c r="H64">
        <v>103.49407375442631</v>
      </c>
      <c r="J64" s="18" t="s">
        <v>44</v>
      </c>
      <c r="K64" s="21">
        <v>2.6</v>
      </c>
      <c r="L64" s="22"/>
      <c r="M64" s="22"/>
      <c r="N64" s="23"/>
      <c r="O64" s="12"/>
      <c r="P64" s="12"/>
    </row>
    <row r="65" spans="1:16" ht="15.75" thickBot="1" x14ac:dyDescent="0.3">
      <c r="A65" s="3">
        <v>43525</v>
      </c>
      <c r="B65">
        <v>116.769997</v>
      </c>
      <c r="E65">
        <v>82.876769999999993</v>
      </c>
      <c r="H65">
        <v>103.69979993723865</v>
      </c>
      <c r="J65" s="24" t="s">
        <v>44</v>
      </c>
      <c r="K65" s="25">
        <v>2.7</v>
      </c>
      <c r="L65" s="26"/>
      <c r="M65" s="26"/>
      <c r="N65" s="27"/>
      <c r="O65" s="28"/>
      <c r="P65" s="28"/>
    </row>
    <row r="66" spans="1:16" x14ac:dyDescent="0.25">
      <c r="J66" s="29" t="s">
        <v>45</v>
      </c>
      <c r="K66" s="30">
        <f>P13</f>
        <v>0</v>
      </c>
      <c r="L66" s="30"/>
      <c r="M66" s="30"/>
      <c r="N66" s="30"/>
      <c r="O66" s="30"/>
      <c r="P66" s="31"/>
    </row>
    <row r="67" spans="1:16" x14ac:dyDescent="0.25">
      <c r="J67" s="14" t="s">
        <v>46</v>
      </c>
      <c r="K67" s="12">
        <v>0</v>
      </c>
      <c r="L67" s="22"/>
      <c r="M67" s="12">
        <v>0</v>
      </c>
      <c r="N67" s="12"/>
      <c r="O67" s="22">
        <f>IF($R$19=2,$O$66*K67+$O$5*(1-K67),-1)</f>
        <v>0</v>
      </c>
      <c r="P67" s="12"/>
    </row>
    <row r="68" spans="1:16" x14ac:dyDescent="0.25">
      <c r="J68" s="29" t="s">
        <v>46</v>
      </c>
      <c r="K68" s="32">
        <v>3.5</v>
      </c>
      <c r="L68" s="32"/>
      <c r="M68" s="30">
        <f>K68*M66</f>
        <v>0</v>
      </c>
      <c r="N68" s="33"/>
      <c r="O68" s="30">
        <f>IF($R$19=2,$O$66*K68+$O$5*(1-K68),-1)</f>
        <v>0</v>
      </c>
      <c r="P68" s="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Group Box 1">
              <controlPr defaultSize="0" autoFill="0" autoPict="0">
                <anchor moveWithCells="1">
                  <from>
                    <xdr:col>16</xdr:col>
                    <xdr:colOff>600075</xdr:colOff>
                    <xdr:row>19</xdr:row>
                    <xdr:rowOff>104775</xdr:rowOff>
                  </from>
                  <to>
                    <xdr:col>19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 altText="Frontier Curve">
                <anchor moveWithCells="1">
                  <from>
                    <xdr:col>17</xdr:col>
                    <xdr:colOff>133350</xdr:colOff>
                    <xdr:row>20</xdr:row>
                    <xdr:rowOff>76200</xdr:rowOff>
                  </from>
                  <to>
                    <xdr:col>18</xdr:col>
                    <xdr:colOff>457200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>
                <anchor moveWithCells="1">
                  <from>
                    <xdr:col>17</xdr:col>
                    <xdr:colOff>133350</xdr:colOff>
                    <xdr:row>21</xdr:row>
                    <xdr:rowOff>180975</xdr:rowOff>
                  </from>
                  <to>
                    <xdr:col>18</xdr:col>
                    <xdr:colOff>457200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ortfolio_Analysis">
                <anchor moveWithCells="1" sizeWithCells="1">
                  <from>
                    <xdr:col>16</xdr:col>
                    <xdr:colOff>561975</xdr:colOff>
                    <xdr:row>15</xdr:row>
                    <xdr:rowOff>114300</xdr:rowOff>
                  </from>
                  <to>
                    <xdr:col>19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clearResult">
                <anchor moveWithCells="1" sizeWithCells="1">
                  <from>
                    <xdr:col>16</xdr:col>
                    <xdr:colOff>600075</xdr:colOff>
                    <xdr:row>24</xdr:row>
                    <xdr:rowOff>28575</xdr:rowOff>
                  </from>
                  <to>
                    <xdr:col>19</xdr:col>
                    <xdr:colOff>95250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PortAnalysis</vt:lpstr>
    </vt:vector>
  </TitlesOfParts>
  <Company>Université de Nice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Teller</dc:creator>
  <cp:lastModifiedBy>ShenJian</cp:lastModifiedBy>
  <dcterms:created xsi:type="dcterms:W3CDTF">2017-03-02T16:14:54Z</dcterms:created>
  <dcterms:modified xsi:type="dcterms:W3CDTF">2019-07-06T07:37:20Z</dcterms:modified>
</cp:coreProperties>
</file>